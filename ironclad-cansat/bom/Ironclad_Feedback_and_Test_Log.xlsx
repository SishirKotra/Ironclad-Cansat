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Weight budget" sheetId="2" state="visible" r:id="rId4"/>
    <sheet name="Bench test" sheetId="3" state="visible" r:id="rId5"/>
    <sheet name="Range test" sheetId="4" state="visible" r:id="rId6"/>
    <sheet name="Drop test" sheetId="5" state="visible" r:id="rId7"/>
    <sheet name="Air sensor check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<sst xmlns="http://schemas.openxmlformats.org/spreadsheetml/2006/main" count="78" uniqueCount="70">
  <si>
    <t xml:space="preserve">Team Ironclad: Feedback and Test Log</t>
  </si>
  <si>
    <t xml:space="preserve">How to use this file</t>
  </si>
  <si>
    <t xml:space="preserve">• Type only in the yellow cells. White cells with numbers fill in by themselves.</t>
  </si>
  <si>
    <t xml:space="preserve">• Enter real data only: real dates and real test results.</t>
  </si>
  <si>
    <t xml:space="preserve">• Add the finished file to the Supporting Archive zip you upload with Screen-1.</t>
  </si>
  <si>
    <t xml:space="preserve">Sheets</t>
  </si>
  <si>
    <t xml:space="preserve">• Weight budget: weigh each part; the total is checked against the 700 g limit.</t>
  </si>
  <si>
    <t xml:space="preserve">• Bench test: sensor readings compared with a reference (phone barometer, thermometer).</t>
  </si>
  <si>
    <t xml:space="preserve">• Range test: how many readings reach the laptop at each distance.</t>
  </si>
  <si>
    <t xml:space="preserve">• Drop test: fall speed for each drop.</t>
  </si>
  <si>
    <t xml:space="preserve">• Air sensor check: our PM2.5 compared with the nearest CPCB station at the same time.</t>
  </si>
  <si>
    <t xml:space="preserve">Example of a filled row (Range test sheet)</t>
  </si>
  <si>
    <t xml:space="preserve">Date: 02-Nov-2026 | Distance: 300 m | Sent: 120 | Received: 117 | % received: fills in by itself | Notes: clear line of sight</t>
  </si>
  <si>
    <t xml:space="preserve">This is only an example of the format. Do not copy it into the log.</t>
  </si>
  <si>
    <t xml:space="preserve">Weight budget</t>
  </si>
  <si>
    <t xml:space="preserve">Weigh each part on a kitchen or jewellery scale. Limit from the CanSat problem statement: 700 g.</t>
  </si>
  <si>
    <t xml:space="preserve">Part</t>
  </si>
  <si>
    <t xml:space="preserve">Qty</t>
  </si>
  <si>
    <t xml:space="preserve">Weight each (g)</t>
  </si>
  <si>
    <t xml:space="preserve">Total (g)</t>
  </si>
  <si>
    <t xml:space="preserve">ESP32-C3 SuperMini</t>
  </si>
  <si>
    <t xml:space="preserve">BME280 sensor</t>
  </si>
  <si>
    <t xml:space="preserve">GPS module</t>
  </si>
  <si>
    <t xml:space="preserve">Air quality sensor (PMS5003)</t>
  </si>
  <si>
    <t xml:space="preserve">LoRa radio (E32)</t>
  </si>
  <si>
    <t xml:space="preserve">Memory card module and card</t>
  </si>
  <si>
    <t xml:space="preserve">LiPo 1S 360 mAh</t>
  </si>
  <si>
    <t xml:space="preserve">5 V boost board</t>
  </si>
  <si>
    <t xml:space="preserve">Burn-wire release (MOSFET, nichrome)</t>
  </si>
  <si>
    <t xml:space="preserve">Switch and wiring</t>
  </si>
  <si>
    <t xml:space="preserve">Buzzer</t>
  </si>
  <si>
    <t xml:space="preserve">Antenna</t>
  </si>
  <si>
    <t xml:space="preserve">Parachute, cord and lid spring</t>
  </si>
  <si>
    <t xml:space="preserve">3D-printed frame and lid</t>
  </si>
  <si>
    <t xml:space="preserve">TPU crush ring</t>
  </si>
  <si>
    <t xml:space="preserve">Screws, glue, other</t>
  </si>
  <si>
    <t xml:space="preserve">Total weight (g)</t>
  </si>
  <si>
    <t xml:space="preserve">Limit (g)</t>
  </si>
  <si>
    <t xml:space="preserve">Source: DTU SEVA 2026 CanSat problem statement</t>
  </si>
  <si>
    <t xml:space="preserve">Spare (g)</t>
  </si>
  <si>
    <t xml:space="preserve">Status</t>
  </si>
  <si>
    <t xml:space="preserve">Bench test</t>
  </si>
  <si>
    <t xml:space="preserve">Compare each sensor with a reference reading taken at the same time and place.</t>
  </si>
  <si>
    <t xml:space="preserve">Date</t>
  </si>
  <si>
    <t xml:space="preserve">Time</t>
  </si>
  <si>
    <t xml:space="preserve">Sensor</t>
  </si>
  <si>
    <t xml:space="preserve">Our reading</t>
  </si>
  <si>
    <t xml:space="preserve">Reference reading</t>
  </si>
  <si>
    <t xml:space="preserve">Reference used</t>
  </si>
  <si>
    <t xml:space="preserve">Difference</t>
  </si>
  <si>
    <t xml:space="preserve">Notes</t>
  </si>
  <si>
    <t xml:space="preserve">Range test</t>
  </si>
  <si>
    <t xml:space="preserve">Send readings for a fixed time at each distance and count how many arrive. Target from the problem statement: 500 to 600 m.</t>
  </si>
  <si>
    <t xml:space="preserve">Distance (m)</t>
  </si>
  <si>
    <t xml:space="preserve">Readings sent</t>
  </si>
  <si>
    <t xml:space="preserve">Readings received</t>
  </si>
  <si>
    <t xml:space="preserve">% received</t>
  </si>
  <si>
    <t xml:space="preserve">Drop test</t>
  </si>
  <si>
    <t xml:space="preserve">Time each fall. Target fall speed from the problem statement: 5 to 8 m/s.</t>
  </si>
  <si>
    <t xml:space="preserve">Drop height (m)</t>
  </si>
  <si>
    <t xml:space="preserve">Fall time (s)</t>
  </si>
  <si>
    <t xml:space="preserve">Speed (m/s)</t>
  </si>
  <si>
    <t xml:space="preserve">In 5 to 8 m/s?</t>
  </si>
  <si>
    <t xml:space="preserve">Damage?</t>
  </si>
  <si>
    <t xml:space="preserve">Air sensor check</t>
  </si>
  <si>
    <t xml:space="preserve">Place the CanSat near a CPCB station (or use its live reading) and record both at the same time.</t>
  </si>
  <si>
    <t xml:space="preserve">CPCB station name</t>
  </si>
  <si>
    <t xml:space="preserve">CPCB PM2.5 (µg/m³)</t>
  </si>
  <si>
    <t xml:space="preserve">Our PM2.5 (µg/m³)</t>
  </si>
  <si>
    <t xml:space="preserve">Difference (%)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</si>
</sst>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1F2A44"/>
      <name val="Arial"/>
      <family val="0"/>
      <charset val="1"/>
    </font>
    <font>
      <i val="true"/>
      <sz val="10"/>
      <color rgb="FF4B556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4B556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B556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4" t="s">
        <v>14</v>
      </c>
    </row>
    <row r="2" customFormat="false" ht="15" hidden="false" customHeight="false" outlineLevel="0" collapsed="false">
      <c r="A2" s="5" t="s">
        <v>15</v>
      </c>
    </row>
    <row r="3" customFormat="false" ht="30" hidden="false" customHeight="true" outlineLevel="0" collapsed="false">
      <c r="A3" s="6" t="s">
        <v>16</v>
      </c>
      <c r="B3" s="6" t="s">
        <v>17</v>
      </c>
      <c r="C3" s="6" t="s">
        <v>18</v>
      </c>
      <c r="D3" s="6" t="s">
        <v>19</v>
      </c>
    </row>
    <row r="4" customFormat="false" ht="15" hidden="false" customHeight="false" outlineLevel="0" collapsed="false">
      <c r="A4" s="7" t="s">
        <v>20</v>
      </c>
      <c r="B4" s="8" t="n">
        <v>1</v>
      </c>
      <c r="C4" s="8"/>
      <c r="D4" s="7" t="n">
        <f aca="false">B4*C4</f>
        <v>0</v>
      </c>
    </row>
    <row r="5" customFormat="false" ht="15" hidden="false" customHeight="false" outlineLevel="0" collapsed="false">
      <c r="A5" s="7" t="s">
        <v>21</v>
      </c>
      <c r="B5" s="8" t="n">
        <v>1</v>
      </c>
      <c r="C5" s="8"/>
      <c r="D5" s="7" t="n">
        <f aca="false">B5*C5</f>
        <v>0</v>
      </c>
    </row>
    <row r="6" customFormat="false" ht="15" hidden="false" customHeight="false" outlineLevel="0" collapsed="false">
      <c r="A6" s="7" t="s">
        <v>22</v>
      </c>
      <c r="B6" s="8" t="n">
        <v>1</v>
      </c>
      <c r="C6" s="8"/>
      <c r="D6" s="7" t="n">
        <f aca="false">B6*C6</f>
        <v>0</v>
      </c>
    </row>
    <row r="7" customFormat="false" ht="15" hidden="false" customHeight="false" outlineLevel="0" collapsed="false">
      <c r="A7" s="7" t="s">
        <v>23</v>
      </c>
      <c r="B7" s="8" t="n">
        <v>1</v>
      </c>
      <c r="C7" s="8"/>
      <c r="D7" s="7" t="n">
        <f aca="false">B7*C7</f>
        <v>0</v>
      </c>
    </row>
    <row r="8" customFormat="false" ht="15" hidden="false" customHeight="false" outlineLevel="0" collapsed="false">
      <c r="A8" s="7" t="s">
        <v>24</v>
      </c>
      <c r="B8" s="8" t="n">
        <v>1</v>
      </c>
      <c r="C8" s="8"/>
      <c r="D8" s="7" t="n">
        <f aca="false">B8*C8</f>
        <v>0</v>
      </c>
    </row>
    <row r="9" customFormat="false" ht="15" hidden="false" customHeight="false" outlineLevel="0" collapsed="false">
      <c r="A9" s="7" t="s">
        <v>25</v>
      </c>
      <c r="B9" s="8" t="n">
        <v>1</v>
      </c>
      <c r="C9" s="8"/>
      <c r="D9" s="7" t="n">
        <f aca="false">B9*C9</f>
        <v>0</v>
      </c>
    </row>
    <row r="10" customFormat="false" ht="15" hidden="false" customHeight="false" outlineLevel="0" collapsed="false">
      <c r="A10" s="7" t="s">
        <v>26</v>
      </c>
      <c r="B10" s="8" t="n">
        <v>1</v>
      </c>
      <c r="C10" s="8"/>
      <c r="D10" s="7" t="n">
        <f aca="false">B10*C10</f>
        <v>0</v>
      </c>
    </row>
    <row r="11" customFormat="false" ht="15" hidden="false" customHeight="false" outlineLevel="0" collapsed="false">
      <c r="A11" s="7" t="s">
        <v>27</v>
      </c>
      <c r="B11" s="8" t="n">
        <v>1</v>
      </c>
      <c r="C11" s="8"/>
      <c r="D11" s="7" t="n">
        <f aca="false">B11*C11</f>
        <v>0</v>
      </c>
    </row>
    <row r="12" customFormat="false" ht="15" hidden="false" customHeight="false" outlineLevel="0" collapsed="false">
      <c r="A12" s="7" t="s">
        <v>28</v>
      </c>
      <c r="B12" s="8" t="n">
        <v>1</v>
      </c>
      <c r="C12" s="8"/>
      <c r="D12" s="7" t="n">
        <f aca="false">B12*C12</f>
        <v>0</v>
      </c>
    </row>
    <row r="13" customFormat="false" ht="15" hidden="false" customHeight="false" outlineLevel="0" collapsed="false">
      <c r="A13" s="7" t="s">
        <v>29</v>
      </c>
      <c r="B13" s="8" t="n">
        <v>1</v>
      </c>
      <c r="C13" s="8"/>
      <c r="D13" s="7" t="n">
        <f aca="false">B13*C13</f>
        <v>0</v>
      </c>
    </row>
    <row r="14" customFormat="false" ht="15" hidden="false" customHeight="false" outlineLevel="0" collapsed="false">
      <c r="A14" s="7" t="s">
        <v>30</v>
      </c>
      <c r="B14" s="8" t="n">
        <v>1</v>
      </c>
      <c r="C14" s="8"/>
      <c r="D14" s="7" t="n">
        <f aca="false">B14*C14</f>
        <v>0</v>
      </c>
    </row>
    <row r="15" customFormat="false" ht="15" hidden="false" customHeight="false" outlineLevel="0" collapsed="false">
      <c r="A15" s="7" t="s">
        <v>31</v>
      </c>
      <c r="B15" s="8" t="n">
        <v>1</v>
      </c>
      <c r="C15" s="8"/>
      <c r="D15" s="7" t="n">
        <f aca="false">B15*C15</f>
        <v>0</v>
      </c>
    </row>
    <row r="16" customFormat="false" ht="15" hidden="false" customHeight="false" outlineLevel="0" collapsed="false">
      <c r="A16" s="7" t="s">
        <v>32</v>
      </c>
      <c r="B16" s="8" t="n">
        <v>1</v>
      </c>
      <c r="C16" s="8"/>
      <c r="D16" s="7" t="n">
        <f aca="false">B16*C16</f>
        <v>0</v>
      </c>
    </row>
    <row r="17" customFormat="false" ht="15" hidden="false" customHeight="false" outlineLevel="0" collapsed="false">
      <c r="A17" s="7" t="s">
        <v>33</v>
      </c>
      <c r="B17" s="8" t="n">
        <v>1</v>
      </c>
      <c r="C17" s="8"/>
      <c r="D17" s="7" t="n">
        <f aca="false">B17*C17</f>
        <v>0</v>
      </c>
    </row>
    <row r="18" customFormat="false" ht="15" hidden="false" customHeight="false" outlineLevel="0" collapsed="false">
      <c r="A18" s="7" t="s">
        <v>34</v>
      </c>
      <c r="B18" s="8" t="n">
        <v>1</v>
      </c>
      <c r="C18" s="8"/>
      <c r="D18" s="7" t="n">
        <f aca="false">B18*C18</f>
        <v>0</v>
      </c>
    </row>
    <row r="19" customFormat="false" ht="15" hidden="false" customHeight="false" outlineLevel="0" collapsed="false">
      <c r="A19" s="7" t="s">
        <v>35</v>
      </c>
      <c r="B19" s="8" t="n">
        <v>1</v>
      </c>
      <c r="C19" s="8"/>
      <c r="D19" s="7" t="n">
        <f aca="false">B19*C19</f>
        <v>0</v>
      </c>
    </row>
    <row r="21" customFormat="false" ht="15" hidden="false" customHeight="false" outlineLevel="0" collapsed="false">
      <c r="C21" s="2" t="s">
        <v>36</v>
      </c>
      <c r="D21" s="2" t="n">
        <f aca="false">SUM(D4:D19)</f>
        <v>0</v>
      </c>
    </row>
    <row r="22" customFormat="false" ht="15" hidden="false" customHeight="false" outlineLevel="0" collapsed="false">
      <c r="C22" s="2" t="s">
        <v>37</v>
      </c>
      <c r="D22" s="2" t="n">
        <v>700</v>
      </c>
      <c r="E22" s="9" t="s">
        <v>38</v>
      </c>
    </row>
    <row r="23" customFormat="false" ht="15" hidden="false" customHeight="false" outlineLevel="0" collapsed="false">
      <c r="C23" s="2" t="s">
        <v>39</v>
      </c>
      <c r="D23" s="2" t="n">
        <f aca="false">D22-D21</f>
        <v>700</v>
      </c>
    </row>
    <row r="24" customFormat="false" ht="15" hidden="false" customHeight="false" outlineLevel="0" collapsed="false">
      <c r="C24" s="2" t="s">
        <v>40</v>
      </c>
      <c r="D24" s="2" t="str">
        <f aca="false">IF(D21&lt;=D22,"Within limit","Over limit")</f>
        <v>Within limit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4" t="s">
        <v>41</v>
      </c>
    </row>
    <row r="2" customFormat="false" ht="15" hidden="false" customHeight="false" outlineLevel="0" collapsed="false">
      <c r="A2" s="5" t="s">
        <v>42</v>
      </c>
    </row>
    <row r="3" customFormat="false" ht="30" hidden="false" customHeight="true" outlineLevel="0" collapsed="false">
      <c r="A3" s="6" t="s">
        <v>43</v>
      </c>
      <c r="B3" s="6" t="s">
        <v>44</v>
      </c>
      <c r="C3" s="6" t="s">
        <v>45</v>
      </c>
      <c r="D3" s="6" t="s">
        <v>46</v>
      </c>
      <c r="E3" s="6" t="s">
        <v>47</v>
      </c>
      <c r="F3" s="6" t="s">
        <v>48</v>
      </c>
      <c r="G3" s="6" t="s">
        <v>49</v>
      </c>
      <c r="H3" s="6" t="s">
        <v>50</v>
      </c>
    </row>
    <row r="4" customFormat="false" ht="15" hidden="false" customHeight="false" outlineLevel="0" collapsed="false">
      <c r="A4" s="10"/>
      <c r="B4" s="10"/>
      <c r="C4" s="10"/>
      <c r="D4" s="10"/>
      <c r="E4" s="10"/>
      <c r="F4" s="10"/>
      <c r="G4" s="11" t="str">
        <f aca="false">IF(OR(D4="",E4=""),"",D4-E4)</f>
        <v/>
      </c>
      <c r="H4" s="10"/>
    </row>
    <row r="5" customFormat="false" ht="15" hidden="false" customHeight="false" outlineLevel="0" collapsed="false">
      <c r="A5" s="10"/>
      <c r="B5" s="10"/>
      <c r="C5" s="10"/>
      <c r="D5" s="10"/>
      <c r="E5" s="10"/>
      <c r="F5" s="10"/>
      <c r="G5" s="11" t="str">
        <f aca="false">IF(OR(D5="",E5=""),"",D5-E5)</f>
        <v/>
      </c>
      <c r="H5" s="10"/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1" t="str">
        <f aca="false">IF(OR(D6="",E6=""),"",D6-E6)</f>
        <v/>
      </c>
      <c r="H6" s="10"/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1" t="str">
        <f aca="false">IF(OR(D7="",E7=""),"",D7-E7)</f>
        <v/>
      </c>
      <c r="H7" s="10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1" t="str">
        <f aca="false">IF(OR(D8="",E8=""),"",D8-E8)</f>
        <v/>
      </c>
      <c r="H8" s="10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1" t="str">
        <f aca="false">IF(OR(D9="",E9=""),"",D9-E9)</f>
        <v/>
      </c>
      <c r="H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1" t="str">
        <f aca="false">IF(OR(D10="",E10=""),"",D10-E10)</f>
        <v/>
      </c>
      <c r="H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1" t="str">
        <f aca="false">IF(OR(D11="",E11=""),"",D11-E11)</f>
        <v/>
      </c>
      <c r="H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1" t="str">
        <f aca="false">IF(OR(D12="",E12=""),"",D12-E12)</f>
        <v/>
      </c>
      <c r="H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1" t="str">
        <f aca="false">IF(OR(D13="",E13=""),"",D13-E13)</f>
        <v/>
      </c>
      <c r="H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1" t="str">
        <f aca="false">IF(OR(D14="",E14=""),"",D14-E14)</f>
        <v/>
      </c>
      <c r="H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1" t="str">
        <f aca="false">IF(OR(D15="",E15=""),"",D15-E15)</f>
        <v/>
      </c>
      <c r="H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1" t="str">
        <f aca="false">IF(OR(D16="",E16=""),"",D16-E16)</f>
        <v/>
      </c>
      <c r="H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1" t="str">
        <f aca="false">IF(OR(D17="",E17=""),"",D17-E17)</f>
        <v/>
      </c>
      <c r="H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1" t="str">
        <f aca="false">IF(OR(D18="",E18=""),"",D18-E18)</f>
        <v/>
      </c>
      <c r="H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1" t="str">
        <f aca="false">IF(OR(D19="",E19=""),"",D19-E19)</f>
        <v/>
      </c>
      <c r="H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1" t="str">
        <f aca="false">IF(OR(D20="",E20=""),"",D20-E20)</f>
        <v/>
      </c>
      <c r="H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1" t="str">
        <f aca="false">IF(OR(D21="",E21=""),"",D21-E21)</f>
        <v/>
      </c>
      <c r="H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1" t="str">
        <f aca="false">IF(OR(D22="",E22=""),"",D22-E22)</f>
        <v/>
      </c>
      <c r="H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1" t="str">
        <f aca="false">IF(OR(D23="",E23=""),"",D23-E23)</f>
        <v/>
      </c>
      <c r="H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1" t="str">
        <f aca="false">IF(OR(D24="",E24=""),"",D24-E24)</f>
        <v/>
      </c>
      <c r="H24" s="10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1" t="str">
        <f aca="false">IF(OR(D25="",E25=""),"",D25-E25)</f>
        <v/>
      </c>
      <c r="H25" s="10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1" t="str">
        <f aca="false">IF(OR(D26="",E26=""),"",D26-E26)</f>
        <v/>
      </c>
      <c r="H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1" t="str">
        <f aca="false">IF(OR(D27="",E27=""),"",D27-E27)</f>
        <v/>
      </c>
      <c r="H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1" t="str">
        <f aca="false">IF(OR(D28="",E28=""),"",D28-E28)</f>
        <v/>
      </c>
      <c r="H28" s="10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1" t="str">
        <f aca="false">IF(OR(D29="",E29=""),"",D29-E29)</f>
        <v/>
      </c>
      <c r="H29" s="10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1" t="str">
        <f aca="false">IF(OR(D30="",E30=""),"",D30-E30)</f>
        <v/>
      </c>
      <c r="H30" s="10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1" t="str">
        <f aca="false">IF(OR(D31="",E31=""),"",D31-E31)</f>
        <v/>
      </c>
      <c r="H31" s="10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1" t="str">
        <f aca="false">IF(OR(D32="",E32=""),"",D32-E32)</f>
        <v/>
      </c>
      <c r="H32" s="10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1" t="str">
        <f aca="false">IF(OR(D33="",E33=""),"",D33-E33)</f>
        <v/>
      </c>
      <c r="H33" s="10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1" t="str">
        <f aca="false">IF(OR(D34="",E34=""),"",D34-E34)</f>
        <v/>
      </c>
      <c r="H34" s="10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1" t="str">
        <f aca="false">IF(OR(D35="",E35=""),"",D35-E35)</f>
        <v/>
      </c>
      <c r="H35" s="10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1" t="str">
        <f aca="false">IF(OR(D36="",E36=""),"",D36-E36)</f>
        <v/>
      </c>
      <c r="H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1" t="str">
        <f aca="false">IF(OR(D37="",E37=""),"",D37-E37)</f>
        <v/>
      </c>
      <c r="H37" s="10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1" t="str">
        <f aca="false">IF(OR(D38="",E38=""),"",D38-E38)</f>
        <v/>
      </c>
      <c r="H38" s="10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1" t="str">
        <f aca="false">IF(OR(D39="",E39=""),"",D39-E39)</f>
        <v/>
      </c>
      <c r="H39" s="10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1" t="str">
        <f aca="false">IF(OR(D40="",E40=""),"",D40-E40)</f>
        <v/>
      </c>
      <c r="H40" s="10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1" t="str">
        <f aca="false">IF(OR(D41="",E41=""),"",D41-E41)</f>
        <v/>
      </c>
      <c r="H41" s="10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1" t="str">
        <f aca="false">IF(OR(D42="",E42=""),"",D42-E42)</f>
        <v/>
      </c>
      <c r="H42" s="10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1" t="str">
        <f aca="false">IF(OR(D43="",E43=""),"",D43-E43)</f>
        <v/>
      </c>
      <c r="H43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4" t="s">
        <v>51</v>
      </c>
    </row>
    <row r="2" customFormat="false" ht="15" hidden="false" customHeight="false" outlineLevel="0" collapsed="false">
      <c r="A2" s="5" t="s">
        <v>52</v>
      </c>
    </row>
    <row r="3" customFormat="false" ht="30" hidden="false" customHeight="true" outlineLevel="0" collapsed="false">
      <c r="A3" s="6" t="s">
        <v>43</v>
      </c>
      <c r="B3" s="6" t="s">
        <v>53</v>
      </c>
      <c r="C3" s="6" t="s">
        <v>54</v>
      </c>
      <c r="D3" s="6" t="s">
        <v>55</v>
      </c>
      <c r="E3" s="6" t="s">
        <v>56</v>
      </c>
      <c r="F3" s="6" t="s">
        <v>50</v>
      </c>
    </row>
    <row r="4" customFormat="false" ht="15" hidden="false" customHeight="false" outlineLevel="0" collapsed="false">
      <c r="A4" s="10"/>
      <c r="B4" s="10"/>
      <c r="C4" s="10"/>
      <c r="D4" s="10"/>
      <c r="E4" s="12" t="str">
        <f aca="false">IF(OR(C4="",C4=0),"",D4/C4)</f>
        <v/>
      </c>
      <c r="F4" s="10"/>
    </row>
    <row r="5" customFormat="false" ht="15" hidden="false" customHeight="false" outlineLevel="0" collapsed="false">
      <c r="A5" s="10"/>
      <c r="B5" s="10"/>
      <c r="C5" s="10"/>
      <c r="D5" s="10"/>
      <c r="E5" s="12" t="str">
        <f aca="false">IF(OR(C5="",C5=0),"",D5/C5)</f>
        <v/>
      </c>
      <c r="F5" s="10"/>
    </row>
    <row r="6" customFormat="false" ht="15" hidden="false" customHeight="false" outlineLevel="0" collapsed="false">
      <c r="A6" s="10"/>
      <c r="B6" s="10"/>
      <c r="C6" s="10"/>
      <c r="D6" s="10"/>
      <c r="E6" s="12" t="str">
        <f aca="false">IF(OR(C6="",C6=0),"",D6/C6)</f>
        <v/>
      </c>
      <c r="F6" s="10"/>
    </row>
    <row r="7" customFormat="false" ht="15" hidden="false" customHeight="false" outlineLevel="0" collapsed="false">
      <c r="A7" s="10"/>
      <c r="B7" s="10"/>
      <c r="C7" s="10"/>
      <c r="D7" s="10"/>
      <c r="E7" s="12" t="str">
        <f aca="false">IF(OR(C7="",C7=0),"",D7/C7)</f>
        <v/>
      </c>
      <c r="F7" s="10"/>
    </row>
    <row r="8" customFormat="false" ht="15" hidden="false" customHeight="false" outlineLevel="0" collapsed="false">
      <c r="A8" s="10"/>
      <c r="B8" s="10"/>
      <c r="C8" s="10"/>
      <c r="D8" s="10"/>
      <c r="E8" s="12" t="str">
        <f aca="false">IF(OR(C8="",C8=0),"",D8/C8)</f>
        <v/>
      </c>
      <c r="F8" s="10"/>
    </row>
    <row r="9" customFormat="false" ht="15" hidden="false" customHeight="false" outlineLevel="0" collapsed="false">
      <c r="A9" s="10"/>
      <c r="B9" s="10"/>
      <c r="C9" s="10"/>
      <c r="D9" s="10"/>
      <c r="E9" s="12" t="str">
        <f aca="false">IF(OR(C9="",C9=0),"",D9/C9)</f>
        <v/>
      </c>
      <c r="F9" s="10"/>
    </row>
    <row r="10" customFormat="false" ht="15" hidden="false" customHeight="false" outlineLevel="0" collapsed="false">
      <c r="A10" s="10"/>
      <c r="B10" s="10"/>
      <c r="C10" s="10"/>
      <c r="D10" s="10"/>
      <c r="E10" s="12" t="str">
        <f aca="false">IF(OR(C10="",C10=0),"",D10/C10)</f>
        <v/>
      </c>
      <c r="F10" s="10"/>
    </row>
    <row r="11" customFormat="false" ht="15" hidden="false" customHeight="false" outlineLevel="0" collapsed="false">
      <c r="A11" s="10"/>
      <c r="B11" s="10"/>
      <c r="C11" s="10"/>
      <c r="D11" s="10"/>
      <c r="E11" s="12" t="str">
        <f aca="false">IF(OR(C11="",C11=0),"",D11/C11)</f>
        <v/>
      </c>
      <c r="F11" s="10"/>
    </row>
    <row r="12" customFormat="false" ht="15" hidden="false" customHeight="false" outlineLevel="0" collapsed="false">
      <c r="A12" s="10"/>
      <c r="B12" s="10"/>
      <c r="C12" s="10"/>
      <c r="D12" s="10"/>
      <c r="E12" s="12" t="str">
        <f aca="false">IF(OR(C12="",C12=0),"",D12/C12)</f>
        <v/>
      </c>
      <c r="F12" s="10"/>
    </row>
    <row r="13" customFormat="false" ht="15" hidden="false" customHeight="false" outlineLevel="0" collapsed="false">
      <c r="A13" s="10"/>
      <c r="B13" s="10"/>
      <c r="C13" s="10"/>
      <c r="D13" s="10"/>
      <c r="E13" s="12" t="str">
        <f aca="false">IF(OR(C13="",C13=0),"",D13/C13)</f>
        <v/>
      </c>
      <c r="F13" s="10"/>
    </row>
    <row r="14" customFormat="false" ht="15" hidden="false" customHeight="false" outlineLevel="0" collapsed="false">
      <c r="A14" s="10"/>
      <c r="B14" s="10"/>
      <c r="C14" s="10"/>
      <c r="D14" s="10"/>
      <c r="E14" s="12" t="str">
        <f aca="false">IF(OR(C14="",C14=0),"",D14/C14)</f>
        <v/>
      </c>
      <c r="F14" s="10"/>
    </row>
    <row r="15" customFormat="false" ht="15" hidden="false" customHeight="false" outlineLevel="0" collapsed="false">
      <c r="A15" s="10"/>
      <c r="B15" s="10"/>
      <c r="C15" s="10"/>
      <c r="D15" s="10"/>
      <c r="E15" s="12" t="str">
        <f aca="false">IF(OR(C15="",C15=0),"",D15/C15)</f>
        <v/>
      </c>
      <c r="F15" s="10"/>
    </row>
    <row r="16" customFormat="false" ht="15" hidden="false" customHeight="false" outlineLevel="0" collapsed="false">
      <c r="A16" s="10"/>
      <c r="B16" s="10"/>
      <c r="C16" s="10"/>
      <c r="D16" s="10"/>
      <c r="E16" s="12" t="str">
        <f aca="false">IF(OR(C16="",C16=0),"",D16/C16)</f>
        <v/>
      </c>
      <c r="F16" s="10"/>
    </row>
    <row r="17" customFormat="false" ht="15" hidden="false" customHeight="false" outlineLevel="0" collapsed="false">
      <c r="A17" s="10"/>
      <c r="B17" s="10"/>
      <c r="C17" s="10"/>
      <c r="D17" s="10"/>
      <c r="E17" s="12" t="str">
        <f aca="false">IF(OR(C17="",C17=0),"",D17/C17)</f>
        <v/>
      </c>
      <c r="F17" s="10"/>
    </row>
    <row r="18" customFormat="false" ht="15" hidden="false" customHeight="false" outlineLevel="0" collapsed="false">
      <c r="A18" s="10"/>
      <c r="B18" s="10"/>
      <c r="C18" s="10"/>
      <c r="D18" s="10"/>
      <c r="E18" s="12" t="str">
        <f aca="false">IF(OR(C18="",C18=0),"",D18/C18)</f>
        <v/>
      </c>
      <c r="F18" s="10"/>
    </row>
    <row r="19" customFormat="false" ht="15" hidden="false" customHeight="false" outlineLevel="0" collapsed="false">
      <c r="A19" s="10"/>
      <c r="B19" s="10"/>
      <c r="C19" s="10"/>
      <c r="D19" s="10"/>
      <c r="E19" s="12" t="str">
        <f aca="false">IF(OR(C19="",C19=0),"",D19/C19)</f>
        <v/>
      </c>
      <c r="F19" s="10"/>
    </row>
    <row r="20" customFormat="false" ht="15" hidden="false" customHeight="false" outlineLevel="0" collapsed="false">
      <c r="A20" s="10"/>
      <c r="B20" s="10"/>
      <c r="C20" s="10"/>
      <c r="D20" s="10"/>
      <c r="E20" s="12" t="str">
        <f aca="false">IF(OR(C20="",C20=0),"",D20/C20)</f>
        <v/>
      </c>
      <c r="F20" s="10"/>
    </row>
    <row r="21" customFormat="false" ht="15" hidden="false" customHeight="false" outlineLevel="0" collapsed="false">
      <c r="A21" s="10"/>
      <c r="B21" s="10"/>
      <c r="C21" s="10"/>
      <c r="D21" s="10"/>
      <c r="E21" s="12" t="str">
        <f aca="false">IF(OR(C21="",C21=0),"",D21/C21)</f>
        <v/>
      </c>
      <c r="F21" s="10"/>
    </row>
    <row r="22" customFormat="false" ht="15" hidden="false" customHeight="false" outlineLevel="0" collapsed="false">
      <c r="A22" s="10"/>
      <c r="B22" s="10"/>
      <c r="C22" s="10"/>
      <c r="D22" s="10"/>
      <c r="E22" s="12" t="str">
        <f aca="false">IF(OR(C22="",C22=0),"",D22/C22)</f>
        <v/>
      </c>
      <c r="F22" s="10"/>
    </row>
    <row r="23" customFormat="false" ht="15" hidden="false" customHeight="false" outlineLevel="0" collapsed="false">
      <c r="A23" s="10"/>
      <c r="B23" s="10"/>
      <c r="C23" s="10"/>
      <c r="D23" s="10"/>
      <c r="E23" s="12" t="str">
        <f aca="false">IF(OR(C23="",C23=0),"",D23/C23)</f>
        <v/>
      </c>
      <c r="F23" s="10"/>
    </row>
    <row r="24" customFormat="false" ht="15" hidden="false" customHeight="false" outlineLevel="0" collapsed="false">
      <c r="A24" s="10"/>
      <c r="B24" s="10"/>
      <c r="C24" s="10"/>
      <c r="D24" s="10"/>
      <c r="E24" s="12" t="str">
        <f aca="false">IF(OR(C24="",C24=0),"",D24/C24)</f>
        <v/>
      </c>
      <c r="F24" s="10"/>
    </row>
    <row r="25" customFormat="false" ht="15" hidden="false" customHeight="false" outlineLevel="0" collapsed="false">
      <c r="A25" s="10"/>
      <c r="B25" s="10"/>
      <c r="C25" s="10"/>
      <c r="D25" s="10"/>
      <c r="E25" s="12" t="str">
        <f aca="false">IF(OR(C25="",C25=0),"",D25/C25)</f>
        <v/>
      </c>
      <c r="F25" s="10"/>
    </row>
    <row r="26" customFormat="false" ht="15" hidden="false" customHeight="false" outlineLevel="0" collapsed="false">
      <c r="A26" s="10"/>
      <c r="B26" s="10"/>
      <c r="C26" s="10"/>
      <c r="D26" s="10"/>
      <c r="E26" s="12" t="str">
        <f aca="false">IF(OR(C26="",C26=0),"",D26/C26)</f>
        <v/>
      </c>
      <c r="F26" s="10"/>
    </row>
    <row r="27" customFormat="false" ht="15" hidden="false" customHeight="false" outlineLevel="0" collapsed="false">
      <c r="A27" s="10"/>
      <c r="B27" s="10"/>
      <c r="C27" s="10"/>
      <c r="D27" s="10"/>
      <c r="E27" s="12" t="str">
        <f aca="false">IF(OR(C27="",C27=0),"",D27/C27)</f>
        <v/>
      </c>
      <c r="F27" s="10"/>
    </row>
    <row r="28" customFormat="false" ht="15" hidden="false" customHeight="false" outlineLevel="0" collapsed="false">
      <c r="A28" s="10"/>
      <c r="B28" s="10"/>
      <c r="C28" s="10"/>
      <c r="D28" s="10"/>
      <c r="E28" s="12" t="str">
        <f aca="false">IF(OR(C28="",C28=0),"",D28/C28)</f>
        <v/>
      </c>
      <c r="F28" s="10"/>
    </row>
    <row r="29" customFormat="false" ht="15" hidden="false" customHeight="false" outlineLevel="0" collapsed="false">
      <c r="A29" s="10"/>
      <c r="B29" s="10"/>
      <c r="C29" s="10"/>
      <c r="D29" s="10"/>
      <c r="E29" s="12" t="str">
        <f aca="false">IF(OR(C29="",C29=0),"",D29/C29)</f>
        <v/>
      </c>
      <c r="F29" s="10"/>
    </row>
    <row r="30" customFormat="false" ht="15" hidden="false" customHeight="false" outlineLevel="0" collapsed="false">
      <c r="A30" s="10"/>
      <c r="B30" s="10"/>
      <c r="C30" s="10"/>
      <c r="D30" s="10"/>
      <c r="E30" s="12" t="str">
        <f aca="false">IF(OR(C30="",C30=0),"",D30/C30)</f>
        <v/>
      </c>
      <c r="F30" s="10"/>
    </row>
    <row r="31" customFormat="false" ht="15" hidden="false" customHeight="false" outlineLevel="0" collapsed="false">
      <c r="A31" s="10"/>
      <c r="B31" s="10"/>
      <c r="C31" s="10"/>
      <c r="D31" s="10"/>
      <c r="E31" s="12" t="str">
        <f aca="false">IF(OR(C31="",C31=0),"",D31/C31)</f>
        <v/>
      </c>
      <c r="F31" s="10"/>
    </row>
    <row r="32" customFormat="false" ht="15" hidden="false" customHeight="false" outlineLevel="0" collapsed="false">
      <c r="A32" s="10"/>
      <c r="B32" s="10"/>
      <c r="C32" s="10"/>
      <c r="D32" s="10"/>
      <c r="E32" s="12" t="str">
        <f aca="false">IF(OR(C32="",C32=0),"",D32/C32)</f>
        <v/>
      </c>
      <c r="F32" s="10"/>
    </row>
    <row r="33" customFormat="false" ht="15" hidden="false" customHeight="false" outlineLevel="0" collapsed="false">
      <c r="A33" s="10"/>
      <c r="B33" s="10"/>
      <c r="C33" s="10"/>
      <c r="D33" s="10"/>
      <c r="E33" s="12" t="str">
        <f aca="false">IF(OR(C33="",C33=0),"",D33/C33)</f>
        <v/>
      </c>
      <c r="F33" s="10"/>
    </row>
    <row r="34" customFormat="false" ht="15" hidden="false" customHeight="false" outlineLevel="0" collapsed="false">
      <c r="A34" s="10"/>
      <c r="B34" s="10"/>
      <c r="C34" s="10"/>
      <c r="D34" s="10"/>
      <c r="E34" s="12" t="str">
        <f aca="false">IF(OR(C34="",C34=0),"",D34/C34)</f>
        <v/>
      </c>
      <c r="F34" s="10"/>
    </row>
    <row r="35" customFormat="false" ht="15" hidden="false" customHeight="false" outlineLevel="0" collapsed="false">
      <c r="A35" s="10"/>
      <c r="B35" s="10"/>
      <c r="C35" s="10"/>
      <c r="D35" s="10"/>
      <c r="E35" s="12" t="str">
        <f aca="false">IF(OR(C35="",C35=0),"",D35/C35)</f>
        <v/>
      </c>
      <c r="F35" s="10"/>
    </row>
    <row r="36" customFormat="false" ht="15" hidden="false" customHeight="false" outlineLevel="0" collapsed="false">
      <c r="A36" s="10"/>
      <c r="B36" s="10"/>
      <c r="C36" s="10"/>
      <c r="D36" s="10"/>
      <c r="E36" s="12" t="str">
        <f aca="false">IF(OR(C36="",C36=0),"",D36/C36)</f>
        <v/>
      </c>
      <c r="F36" s="10"/>
    </row>
    <row r="37" customFormat="false" ht="15" hidden="false" customHeight="false" outlineLevel="0" collapsed="false">
      <c r="A37" s="10"/>
      <c r="B37" s="10"/>
      <c r="C37" s="10"/>
      <c r="D37" s="10"/>
      <c r="E37" s="12" t="str">
        <f aca="false">IF(OR(C37="",C37=0),"",D37/C37)</f>
        <v/>
      </c>
      <c r="F37" s="10"/>
    </row>
    <row r="38" customFormat="false" ht="15" hidden="false" customHeight="false" outlineLevel="0" collapsed="false">
      <c r="A38" s="10"/>
      <c r="B38" s="10"/>
      <c r="C38" s="10"/>
      <c r="D38" s="10"/>
      <c r="E38" s="12" t="str">
        <f aca="false">IF(OR(C38="",C38=0),"",D38/C38)</f>
        <v/>
      </c>
      <c r="F38" s="10"/>
    </row>
    <row r="39" customFormat="false" ht="15" hidden="false" customHeight="false" outlineLevel="0" collapsed="false">
      <c r="A39" s="10"/>
      <c r="B39" s="10"/>
      <c r="C39" s="10"/>
      <c r="D39" s="10"/>
      <c r="E39" s="12" t="str">
        <f aca="false">IF(OR(C39="",C39=0),"",D39/C39)</f>
        <v/>
      </c>
      <c r="F39" s="10"/>
    </row>
    <row r="40" customFormat="false" ht="15" hidden="false" customHeight="false" outlineLevel="0" collapsed="false">
      <c r="A40" s="10"/>
      <c r="B40" s="10"/>
      <c r="C40" s="10"/>
      <c r="D40" s="10"/>
      <c r="E40" s="12" t="str">
        <f aca="false">IF(OR(C40="",C40=0),"",D40/C40)</f>
        <v/>
      </c>
      <c r="F40" s="10"/>
    </row>
    <row r="41" customFormat="false" ht="15" hidden="false" customHeight="false" outlineLevel="0" collapsed="false">
      <c r="A41" s="10"/>
      <c r="B41" s="10"/>
      <c r="C41" s="10"/>
      <c r="D41" s="10"/>
      <c r="E41" s="12" t="str">
        <f aca="false">IF(OR(C41="",C41=0),"",D41/C41)</f>
        <v/>
      </c>
      <c r="F41" s="10"/>
    </row>
    <row r="42" customFormat="false" ht="15" hidden="false" customHeight="false" outlineLevel="0" collapsed="false">
      <c r="A42" s="10"/>
      <c r="B42" s="10"/>
      <c r="C42" s="10"/>
      <c r="D42" s="10"/>
      <c r="E42" s="12" t="str">
        <f aca="false">IF(OR(C42="",C42=0),"",D42/C42)</f>
        <v/>
      </c>
      <c r="F42" s="10"/>
    </row>
    <row r="43" customFormat="false" ht="15" hidden="false" customHeight="false" outlineLevel="0" collapsed="false">
      <c r="A43" s="10"/>
      <c r="B43" s="10"/>
      <c r="C43" s="10"/>
      <c r="D43" s="10"/>
      <c r="E43" s="12" t="str">
        <f aca="false">IF(OR(C43="",C43=0),"",D43/C43)</f>
        <v/>
      </c>
      <c r="F43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13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4" t="s">
        <v>57</v>
      </c>
    </row>
    <row r="2" customFormat="false" ht="15" hidden="false" customHeight="false" outlineLevel="0" collapsed="false">
      <c r="A2" s="5" t="s">
        <v>58</v>
      </c>
    </row>
    <row r="3" customFormat="false" ht="30" hidden="false" customHeight="true" outlineLevel="0" collapsed="false">
      <c r="A3" s="6" t="s">
        <v>43</v>
      </c>
      <c r="B3" s="6" t="s">
        <v>59</v>
      </c>
      <c r="C3" s="6" t="s">
        <v>60</v>
      </c>
      <c r="D3" s="6" t="s">
        <v>61</v>
      </c>
      <c r="E3" s="6" t="s">
        <v>62</v>
      </c>
      <c r="F3" s="6" t="s">
        <v>63</v>
      </c>
      <c r="G3" s="6" t="s">
        <v>50</v>
      </c>
    </row>
    <row r="4" customFormat="false" ht="15" hidden="false" customHeight="false" outlineLevel="0" collapsed="false">
      <c r="A4" s="10"/>
      <c r="B4" s="10"/>
      <c r="C4" s="10"/>
      <c r="D4" s="13" t="str">
        <f aca="false">IF(OR(B4="",C4="",C4=0),"",B4/C4)</f>
        <v/>
      </c>
      <c r="E4" s="11" t="str">
        <f aca="false">IF(D4="","",IF(AND(D4&gt;=5,D4&lt;=8),"Yes","No"))</f>
        <v/>
      </c>
      <c r="F4" s="10"/>
      <c r="G4" s="10"/>
    </row>
    <row r="5" customFormat="false" ht="15" hidden="false" customHeight="false" outlineLevel="0" collapsed="false">
      <c r="A5" s="10"/>
      <c r="B5" s="10"/>
      <c r="C5" s="10"/>
      <c r="D5" s="13" t="str">
        <f aca="false">IF(OR(B5="",C5="",C5=0),"",B5/C5)</f>
        <v/>
      </c>
      <c r="E5" s="11" t="str">
        <f aca="false">IF(D5="","",IF(AND(D5&gt;=5,D5&lt;=8),"Yes","No"))</f>
        <v/>
      </c>
      <c r="F5" s="10"/>
      <c r="G5" s="10"/>
    </row>
    <row r="6" customFormat="false" ht="15" hidden="false" customHeight="false" outlineLevel="0" collapsed="false">
      <c r="A6" s="10"/>
      <c r="B6" s="10"/>
      <c r="C6" s="10"/>
      <c r="D6" s="13" t="str">
        <f aca="false">IF(OR(B6="",C6="",C6=0),"",B6/C6)</f>
        <v/>
      </c>
      <c r="E6" s="11" t="str">
        <f aca="false">IF(D6="","",IF(AND(D6&gt;=5,D6&lt;=8),"Yes","No"))</f>
        <v/>
      </c>
      <c r="F6" s="10"/>
      <c r="G6" s="10"/>
    </row>
    <row r="7" customFormat="false" ht="15" hidden="false" customHeight="false" outlineLevel="0" collapsed="false">
      <c r="A7" s="10"/>
      <c r="B7" s="10"/>
      <c r="C7" s="10"/>
      <c r="D7" s="13" t="str">
        <f aca="false">IF(OR(B7="",C7="",C7=0),"",B7/C7)</f>
        <v/>
      </c>
      <c r="E7" s="11" t="str">
        <f aca="false">IF(D7="","",IF(AND(D7&gt;=5,D7&lt;=8),"Yes","No"))</f>
        <v/>
      </c>
      <c r="F7" s="10"/>
      <c r="G7" s="10"/>
    </row>
    <row r="8" customFormat="false" ht="15" hidden="false" customHeight="false" outlineLevel="0" collapsed="false">
      <c r="A8" s="10"/>
      <c r="B8" s="10"/>
      <c r="C8" s="10"/>
      <c r="D8" s="13" t="str">
        <f aca="false">IF(OR(B8="",C8="",C8=0),"",B8/C8)</f>
        <v/>
      </c>
      <c r="E8" s="11" t="str">
        <f aca="false">IF(D8="","",IF(AND(D8&gt;=5,D8&lt;=8),"Yes","No"))</f>
        <v/>
      </c>
      <c r="F8" s="10"/>
      <c r="G8" s="10"/>
    </row>
    <row r="9" customFormat="false" ht="15" hidden="false" customHeight="false" outlineLevel="0" collapsed="false">
      <c r="A9" s="10"/>
      <c r="B9" s="10"/>
      <c r="C9" s="10"/>
      <c r="D9" s="13" t="str">
        <f aca="false">IF(OR(B9="",C9="",C9=0),"",B9/C9)</f>
        <v/>
      </c>
      <c r="E9" s="11" t="str">
        <f aca="false">IF(D9="","",IF(AND(D9&gt;=5,D9&lt;=8),"Yes","No"))</f>
        <v/>
      </c>
      <c r="F9" s="10"/>
      <c r="G9" s="10"/>
    </row>
    <row r="10" customFormat="false" ht="15" hidden="false" customHeight="false" outlineLevel="0" collapsed="false">
      <c r="A10" s="10"/>
      <c r="B10" s="10"/>
      <c r="C10" s="10"/>
      <c r="D10" s="13" t="str">
        <f aca="false">IF(OR(B10="",C10="",C10=0),"",B10/C10)</f>
        <v/>
      </c>
      <c r="E10" s="11" t="str">
        <f aca="false">IF(D10="","",IF(AND(D10&gt;=5,D10&lt;=8),"Yes","No"))</f>
        <v/>
      </c>
      <c r="F10" s="10"/>
      <c r="G10" s="10"/>
    </row>
    <row r="11" customFormat="false" ht="15" hidden="false" customHeight="false" outlineLevel="0" collapsed="false">
      <c r="A11" s="10"/>
      <c r="B11" s="10"/>
      <c r="C11" s="10"/>
      <c r="D11" s="13" t="str">
        <f aca="false">IF(OR(B11="",C11="",C11=0),"",B11/C11)</f>
        <v/>
      </c>
      <c r="E11" s="11" t="str">
        <f aca="false">IF(D11="","",IF(AND(D11&gt;=5,D11&lt;=8),"Yes","No"))</f>
        <v/>
      </c>
      <c r="F11" s="10"/>
      <c r="G11" s="10"/>
    </row>
    <row r="12" customFormat="false" ht="15" hidden="false" customHeight="false" outlineLevel="0" collapsed="false">
      <c r="A12" s="10"/>
      <c r="B12" s="10"/>
      <c r="C12" s="10"/>
      <c r="D12" s="13" t="str">
        <f aca="false">IF(OR(B12="",C12="",C12=0),"",B12/C12)</f>
        <v/>
      </c>
      <c r="E12" s="11" t="str">
        <f aca="false">IF(D12="","",IF(AND(D12&gt;=5,D12&lt;=8),"Yes","No"))</f>
        <v/>
      </c>
      <c r="F12" s="10"/>
      <c r="G12" s="10"/>
    </row>
    <row r="13" customFormat="false" ht="15" hidden="false" customHeight="false" outlineLevel="0" collapsed="false">
      <c r="A13" s="10"/>
      <c r="B13" s="10"/>
      <c r="C13" s="10"/>
      <c r="D13" s="13" t="str">
        <f aca="false">IF(OR(B13="",C13="",C13=0),"",B13/C13)</f>
        <v/>
      </c>
      <c r="E13" s="11" t="str">
        <f aca="false">IF(D13="","",IF(AND(D13&gt;=5,D13&lt;=8),"Yes","No"))</f>
        <v/>
      </c>
      <c r="F13" s="10"/>
      <c r="G13" s="10"/>
    </row>
    <row r="14" customFormat="false" ht="15" hidden="false" customHeight="false" outlineLevel="0" collapsed="false">
      <c r="A14" s="10"/>
      <c r="B14" s="10"/>
      <c r="C14" s="10"/>
      <c r="D14" s="13" t="str">
        <f aca="false">IF(OR(B14="",C14="",C14=0),"",B14/C14)</f>
        <v/>
      </c>
      <c r="E14" s="11" t="str">
        <f aca="false">IF(D14="","",IF(AND(D14&gt;=5,D14&lt;=8),"Yes","No"))</f>
        <v/>
      </c>
      <c r="F14" s="10"/>
      <c r="G14" s="10"/>
    </row>
    <row r="15" customFormat="false" ht="15" hidden="false" customHeight="false" outlineLevel="0" collapsed="false">
      <c r="A15" s="10"/>
      <c r="B15" s="10"/>
      <c r="C15" s="10"/>
      <c r="D15" s="13" t="str">
        <f aca="false">IF(OR(B15="",C15="",C15=0),"",B15/C15)</f>
        <v/>
      </c>
      <c r="E15" s="11" t="str">
        <f aca="false">IF(D15="","",IF(AND(D15&gt;=5,D15&lt;=8),"Yes","No"))</f>
        <v/>
      </c>
      <c r="F15" s="10"/>
      <c r="G15" s="10"/>
    </row>
    <row r="16" customFormat="false" ht="15" hidden="false" customHeight="false" outlineLevel="0" collapsed="false">
      <c r="A16" s="10"/>
      <c r="B16" s="10"/>
      <c r="C16" s="10"/>
      <c r="D16" s="13" t="str">
        <f aca="false">IF(OR(B16="",C16="",C16=0),"",B16/C16)</f>
        <v/>
      </c>
      <c r="E16" s="11" t="str">
        <f aca="false">IF(D16="","",IF(AND(D16&gt;=5,D16&lt;=8),"Yes","No"))</f>
        <v/>
      </c>
      <c r="F16" s="10"/>
      <c r="G16" s="10"/>
    </row>
    <row r="17" customFormat="false" ht="15" hidden="false" customHeight="false" outlineLevel="0" collapsed="false">
      <c r="A17" s="10"/>
      <c r="B17" s="10"/>
      <c r="C17" s="10"/>
      <c r="D17" s="13" t="str">
        <f aca="false">IF(OR(B17="",C17="",C17=0),"",B17/C17)</f>
        <v/>
      </c>
      <c r="E17" s="11" t="str">
        <f aca="false">IF(D17="","",IF(AND(D17&gt;=5,D17&lt;=8),"Yes","No"))</f>
        <v/>
      </c>
      <c r="F17" s="10"/>
      <c r="G17" s="10"/>
    </row>
    <row r="18" customFormat="false" ht="15" hidden="false" customHeight="false" outlineLevel="0" collapsed="false">
      <c r="A18" s="10"/>
      <c r="B18" s="10"/>
      <c r="C18" s="10"/>
      <c r="D18" s="13" t="str">
        <f aca="false">IF(OR(B18="",C18="",C18=0),"",B18/C18)</f>
        <v/>
      </c>
      <c r="E18" s="11" t="str">
        <f aca="false">IF(D18="","",IF(AND(D18&gt;=5,D18&lt;=8),"Yes","No"))</f>
        <v/>
      </c>
      <c r="F18" s="10"/>
      <c r="G18" s="10"/>
    </row>
    <row r="19" customFormat="false" ht="15" hidden="false" customHeight="false" outlineLevel="0" collapsed="false">
      <c r="A19" s="10"/>
      <c r="B19" s="10"/>
      <c r="C19" s="10"/>
      <c r="D19" s="13" t="str">
        <f aca="false">IF(OR(B19="",C19="",C19=0),"",B19/C19)</f>
        <v/>
      </c>
      <c r="E19" s="11" t="str">
        <f aca="false">IF(D19="","",IF(AND(D19&gt;=5,D19&lt;=8),"Yes","No"))</f>
        <v/>
      </c>
      <c r="F19" s="10"/>
      <c r="G19" s="10"/>
    </row>
    <row r="20" customFormat="false" ht="15" hidden="false" customHeight="false" outlineLevel="0" collapsed="false">
      <c r="A20" s="10"/>
      <c r="B20" s="10"/>
      <c r="C20" s="10"/>
      <c r="D20" s="13" t="str">
        <f aca="false">IF(OR(B20="",C20="",C20=0),"",B20/C20)</f>
        <v/>
      </c>
      <c r="E20" s="11" t="str">
        <f aca="false">IF(D20="","",IF(AND(D20&gt;=5,D20&lt;=8),"Yes","No"))</f>
        <v/>
      </c>
      <c r="F20" s="10"/>
      <c r="G20" s="10"/>
    </row>
    <row r="21" customFormat="false" ht="15" hidden="false" customHeight="false" outlineLevel="0" collapsed="false">
      <c r="A21" s="10"/>
      <c r="B21" s="10"/>
      <c r="C21" s="10"/>
      <c r="D21" s="13" t="str">
        <f aca="false">IF(OR(B21="",C21="",C21=0),"",B21/C21)</f>
        <v/>
      </c>
      <c r="E21" s="11" t="str">
        <f aca="false">IF(D21="","",IF(AND(D21&gt;=5,D21&lt;=8),"Yes","No"))</f>
        <v/>
      </c>
      <c r="F21" s="10"/>
      <c r="G21" s="10"/>
    </row>
    <row r="22" customFormat="false" ht="15" hidden="false" customHeight="false" outlineLevel="0" collapsed="false">
      <c r="A22" s="10"/>
      <c r="B22" s="10"/>
      <c r="C22" s="10"/>
      <c r="D22" s="13" t="str">
        <f aca="false">IF(OR(B22="",C22="",C22=0),"",B22/C22)</f>
        <v/>
      </c>
      <c r="E22" s="11" t="str">
        <f aca="false">IF(D22="","",IF(AND(D22&gt;=5,D22&lt;=8),"Yes","No"))</f>
        <v/>
      </c>
      <c r="F22" s="10"/>
      <c r="G22" s="10"/>
    </row>
    <row r="23" customFormat="false" ht="15" hidden="false" customHeight="false" outlineLevel="0" collapsed="false">
      <c r="A23" s="10"/>
      <c r="B23" s="10"/>
      <c r="C23" s="10"/>
      <c r="D23" s="13" t="str">
        <f aca="false">IF(OR(B23="",C23="",C23=0),"",B23/C23)</f>
        <v/>
      </c>
      <c r="E23" s="11" t="str">
        <f aca="false">IF(D23="","",IF(AND(D23&gt;=5,D23&lt;=8),"Yes","No"))</f>
        <v/>
      </c>
      <c r="F23" s="10"/>
      <c r="G23" s="10"/>
    </row>
    <row r="24" customFormat="false" ht="15" hidden="false" customHeight="false" outlineLevel="0" collapsed="false">
      <c r="A24" s="10"/>
      <c r="B24" s="10"/>
      <c r="C24" s="10"/>
      <c r="D24" s="13" t="str">
        <f aca="false">IF(OR(B24="",C24="",C24=0),"",B24/C24)</f>
        <v/>
      </c>
      <c r="E24" s="11" t="str">
        <f aca="false">IF(D24="","",IF(AND(D24&gt;=5,D24&lt;=8),"Yes","No"))</f>
        <v/>
      </c>
      <c r="F24" s="10"/>
      <c r="G24" s="10"/>
    </row>
    <row r="25" customFormat="false" ht="15" hidden="false" customHeight="false" outlineLevel="0" collapsed="false">
      <c r="A25" s="10"/>
      <c r="B25" s="10"/>
      <c r="C25" s="10"/>
      <c r="D25" s="13" t="str">
        <f aca="false">IF(OR(B25="",C25="",C25=0),"",B25/C25)</f>
        <v/>
      </c>
      <c r="E25" s="11" t="str">
        <f aca="false">IF(D25="","",IF(AND(D25&gt;=5,D25&lt;=8),"Yes","No"))</f>
        <v/>
      </c>
      <c r="F25" s="10"/>
      <c r="G25" s="10"/>
    </row>
    <row r="26" customFormat="false" ht="15" hidden="false" customHeight="false" outlineLevel="0" collapsed="false">
      <c r="A26" s="10"/>
      <c r="B26" s="10"/>
      <c r="C26" s="10"/>
      <c r="D26" s="13" t="str">
        <f aca="false">IF(OR(B26="",C26="",C26=0),"",B26/C26)</f>
        <v/>
      </c>
      <c r="E26" s="11" t="str">
        <f aca="false">IF(D26="","",IF(AND(D26&gt;=5,D26&lt;=8),"Yes","No"))</f>
        <v/>
      </c>
      <c r="F26" s="10"/>
      <c r="G26" s="10"/>
    </row>
    <row r="27" customFormat="false" ht="15" hidden="false" customHeight="false" outlineLevel="0" collapsed="false">
      <c r="A27" s="10"/>
      <c r="B27" s="10"/>
      <c r="C27" s="10"/>
      <c r="D27" s="13" t="str">
        <f aca="false">IF(OR(B27="",C27="",C27=0),"",B27/C27)</f>
        <v/>
      </c>
      <c r="E27" s="11" t="str">
        <f aca="false">IF(D27="","",IF(AND(D27&gt;=5,D27&lt;=8),"Yes","No"))</f>
        <v/>
      </c>
      <c r="F27" s="10"/>
      <c r="G27" s="10"/>
    </row>
    <row r="28" customFormat="false" ht="15" hidden="false" customHeight="false" outlineLevel="0" collapsed="false">
      <c r="A28" s="10"/>
      <c r="B28" s="10"/>
      <c r="C28" s="10"/>
      <c r="D28" s="13" t="str">
        <f aca="false">IF(OR(B28="",C28="",C28=0),"",B28/C28)</f>
        <v/>
      </c>
      <c r="E28" s="11" t="str">
        <f aca="false">IF(D28="","",IF(AND(D28&gt;=5,D28&lt;=8),"Yes","No"))</f>
        <v/>
      </c>
      <c r="F28" s="10"/>
      <c r="G28" s="10"/>
    </row>
    <row r="29" customFormat="false" ht="15" hidden="false" customHeight="false" outlineLevel="0" collapsed="false">
      <c r="A29" s="10"/>
      <c r="B29" s="10"/>
      <c r="C29" s="10"/>
      <c r="D29" s="13" t="str">
        <f aca="false">IF(OR(B29="",C29="",C29=0),"",B29/C29)</f>
        <v/>
      </c>
      <c r="E29" s="11" t="str">
        <f aca="false">IF(D29="","",IF(AND(D29&gt;=5,D29&lt;=8),"Yes","No"))</f>
        <v/>
      </c>
      <c r="F29" s="10"/>
      <c r="G29" s="10"/>
    </row>
    <row r="30" customFormat="false" ht="15" hidden="false" customHeight="false" outlineLevel="0" collapsed="false">
      <c r="A30" s="10"/>
      <c r="B30" s="10"/>
      <c r="C30" s="10"/>
      <c r="D30" s="13" t="str">
        <f aca="false">IF(OR(B30="",C30="",C30=0),"",B30/C30)</f>
        <v/>
      </c>
      <c r="E30" s="11" t="str">
        <f aca="false">IF(D30="","",IF(AND(D30&gt;=5,D30&lt;=8),"Yes","No"))</f>
        <v/>
      </c>
      <c r="F30" s="10"/>
      <c r="G30" s="10"/>
    </row>
    <row r="31" customFormat="false" ht="15" hidden="false" customHeight="false" outlineLevel="0" collapsed="false">
      <c r="A31" s="10"/>
      <c r="B31" s="10"/>
      <c r="C31" s="10"/>
      <c r="D31" s="13" t="str">
        <f aca="false">IF(OR(B31="",C31="",C31=0),"",B31/C31)</f>
        <v/>
      </c>
      <c r="E31" s="11" t="str">
        <f aca="false">IF(D31="","",IF(AND(D31&gt;=5,D31&lt;=8),"Yes","No"))</f>
        <v/>
      </c>
      <c r="F31" s="10"/>
      <c r="G31" s="10"/>
    </row>
    <row r="32" customFormat="false" ht="15" hidden="false" customHeight="false" outlineLevel="0" collapsed="false">
      <c r="A32" s="10"/>
      <c r="B32" s="10"/>
      <c r="C32" s="10"/>
      <c r="D32" s="13" t="str">
        <f aca="false">IF(OR(B32="",C32="",C32=0),"",B32/C32)</f>
        <v/>
      </c>
      <c r="E32" s="11" t="str">
        <f aca="false">IF(D32="","",IF(AND(D32&gt;=5,D32&lt;=8),"Yes","No"))</f>
        <v/>
      </c>
      <c r="F32" s="10"/>
      <c r="G32" s="10"/>
    </row>
    <row r="33" customFormat="false" ht="15" hidden="false" customHeight="false" outlineLevel="0" collapsed="false">
      <c r="A33" s="10"/>
      <c r="B33" s="10"/>
      <c r="C33" s="10"/>
      <c r="D33" s="13" t="str">
        <f aca="false">IF(OR(B33="",C33="",C33=0),"",B33/C33)</f>
        <v/>
      </c>
      <c r="E33" s="11" t="str">
        <f aca="false">IF(D33="","",IF(AND(D33&gt;=5,D33&lt;=8),"Yes","No"))</f>
        <v/>
      </c>
      <c r="F33" s="10"/>
      <c r="G33" s="10"/>
    </row>
    <row r="34" customFormat="false" ht="15" hidden="false" customHeight="false" outlineLevel="0" collapsed="false">
      <c r="A34" s="10"/>
      <c r="B34" s="10"/>
      <c r="C34" s="10"/>
      <c r="D34" s="13" t="str">
        <f aca="false">IF(OR(B34="",C34="",C34=0),"",B34/C34)</f>
        <v/>
      </c>
      <c r="E34" s="11" t="str">
        <f aca="false">IF(D34="","",IF(AND(D34&gt;=5,D34&lt;=8),"Yes","No"))</f>
        <v/>
      </c>
      <c r="F34" s="10"/>
      <c r="G34" s="10"/>
    </row>
    <row r="35" customFormat="false" ht="15" hidden="false" customHeight="false" outlineLevel="0" collapsed="false">
      <c r="A35" s="10"/>
      <c r="B35" s="10"/>
      <c r="C35" s="10"/>
      <c r="D35" s="13" t="str">
        <f aca="false">IF(OR(B35="",C35="",C35=0),"",B35/C35)</f>
        <v/>
      </c>
      <c r="E35" s="11" t="str">
        <f aca="false">IF(D35="","",IF(AND(D35&gt;=5,D35&lt;=8),"Yes","No"))</f>
        <v/>
      </c>
      <c r="F35" s="10"/>
      <c r="G35" s="10"/>
    </row>
    <row r="36" customFormat="false" ht="15" hidden="false" customHeight="false" outlineLevel="0" collapsed="false">
      <c r="A36" s="10"/>
      <c r="B36" s="10"/>
      <c r="C36" s="10"/>
      <c r="D36" s="13" t="str">
        <f aca="false">IF(OR(B36="",C36="",C36=0),"",B36/C36)</f>
        <v/>
      </c>
      <c r="E36" s="11" t="str">
        <f aca="false">IF(D36="","",IF(AND(D36&gt;=5,D36&lt;=8),"Yes","No"))</f>
        <v/>
      </c>
      <c r="F36" s="10"/>
      <c r="G36" s="10"/>
    </row>
    <row r="37" customFormat="false" ht="15" hidden="false" customHeight="false" outlineLevel="0" collapsed="false">
      <c r="A37" s="10"/>
      <c r="B37" s="10"/>
      <c r="C37" s="10"/>
      <c r="D37" s="13" t="str">
        <f aca="false">IF(OR(B37="",C37="",C37=0),"",B37/C37)</f>
        <v/>
      </c>
      <c r="E37" s="11" t="str">
        <f aca="false">IF(D37="","",IF(AND(D37&gt;=5,D37&lt;=8),"Yes","No"))</f>
        <v/>
      </c>
      <c r="F37" s="10"/>
      <c r="G37" s="10"/>
    </row>
    <row r="38" customFormat="false" ht="15" hidden="false" customHeight="false" outlineLevel="0" collapsed="false">
      <c r="A38" s="10"/>
      <c r="B38" s="10"/>
      <c r="C38" s="10"/>
      <c r="D38" s="13" t="str">
        <f aca="false">IF(OR(B38="",C38="",C38=0),"",B38/C38)</f>
        <v/>
      </c>
      <c r="E38" s="11" t="str">
        <f aca="false">IF(D38="","",IF(AND(D38&gt;=5,D38&lt;=8),"Yes","No"))</f>
        <v/>
      </c>
      <c r="F38" s="10"/>
      <c r="G38" s="10"/>
    </row>
    <row r="39" customFormat="false" ht="15" hidden="false" customHeight="false" outlineLevel="0" collapsed="false">
      <c r="A39" s="10"/>
      <c r="B39" s="10"/>
      <c r="C39" s="10"/>
      <c r="D39" s="13" t="str">
        <f aca="false">IF(OR(B39="",C39="",C39=0),"",B39/C39)</f>
        <v/>
      </c>
      <c r="E39" s="11" t="str">
        <f aca="false">IF(D39="","",IF(AND(D39&gt;=5,D39&lt;=8),"Yes","No"))</f>
        <v/>
      </c>
      <c r="F39" s="10"/>
      <c r="G39" s="10"/>
    </row>
    <row r="40" customFormat="false" ht="15" hidden="false" customHeight="false" outlineLevel="0" collapsed="false">
      <c r="A40" s="10"/>
      <c r="B40" s="10"/>
      <c r="C40" s="10"/>
      <c r="D40" s="13" t="str">
        <f aca="false">IF(OR(B40="",C40="",C40=0),"",B40/C40)</f>
        <v/>
      </c>
      <c r="E40" s="11" t="str">
        <f aca="false">IF(D40="","",IF(AND(D40&gt;=5,D40&lt;=8),"Yes","No"))</f>
        <v/>
      </c>
      <c r="F40" s="10"/>
      <c r="G40" s="10"/>
    </row>
    <row r="41" customFormat="false" ht="15" hidden="false" customHeight="false" outlineLevel="0" collapsed="false">
      <c r="A41" s="10"/>
      <c r="B41" s="10"/>
      <c r="C41" s="10"/>
      <c r="D41" s="13" t="str">
        <f aca="false">IF(OR(B41="",C41="",C41=0),"",B41/C41)</f>
        <v/>
      </c>
      <c r="E41" s="11" t="str">
        <f aca="false">IF(D41="","",IF(AND(D41&gt;=5,D41&lt;=8),"Yes","No"))</f>
        <v/>
      </c>
      <c r="F41" s="10"/>
      <c r="G41" s="10"/>
    </row>
    <row r="42" customFormat="false" ht="15" hidden="false" customHeight="false" outlineLevel="0" collapsed="false">
      <c r="A42" s="10"/>
      <c r="B42" s="10"/>
      <c r="C42" s="10"/>
      <c r="D42" s="13" t="str">
        <f aca="false">IF(OR(B42="",C42="",C42=0),"",B42/C42)</f>
        <v/>
      </c>
      <c r="E42" s="11" t="str">
        <f aca="false">IF(D42="","",IF(AND(D42&gt;=5,D42&lt;=8),"Yes","No"))</f>
        <v/>
      </c>
      <c r="F42" s="10"/>
      <c r="G42" s="10"/>
    </row>
    <row r="43" customFormat="false" ht="15" hidden="false" customHeight="false" outlineLevel="0" collapsed="false">
      <c r="A43" s="10"/>
      <c r="B43" s="10"/>
      <c r="C43" s="10"/>
      <c r="D43" s="13" t="str">
        <f aca="false">IF(OR(B43="",C43="",C43=0),"",B43/C43)</f>
        <v/>
      </c>
      <c r="E43" s="11" t="str">
        <f aca="false">IF(D43="","",IF(AND(D43&gt;=5,D43&lt;=8),"Yes","No"))</f>
        <v/>
      </c>
      <c r="F43" s="10"/>
      <c r="G43" s="10"/>
    </row>
  </sheetData>
  <dataValidations count="1">
    <dataValidation allowBlank="true" errorStyle="stop" operator="between" showDropDown="false" showErrorMessage="false" showInputMessage="false" sqref="F4:F4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5" min="4" style="0" width="1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4" t="s">
        <v>64</v>
      </c>
    </row>
    <row r="2" customFormat="false" ht="15" hidden="false" customHeight="false" outlineLevel="0" collapsed="false">
      <c r="A2" s="5" t="s">
        <v>65</v>
      </c>
    </row>
    <row r="3" customFormat="false" ht="30" hidden="false" customHeight="true" outlineLevel="0" collapsed="false">
      <c r="A3" s="6" t="s">
        <v>43</v>
      </c>
      <c r="B3" s="6" t="s">
        <v>44</v>
      </c>
      <c r="C3" s="6" t="s">
        <v>66</v>
      </c>
      <c r="D3" s="6" t="s">
        <v>67</v>
      </c>
      <c r="E3" s="6" t="s">
        <v>68</v>
      </c>
      <c r="F3" s="6" t="s">
        <v>49</v>
      </c>
      <c r="G3" s="6" t="s">
        <v>69</v>
      </c>
      <c r="H3" s="6" t="s">
        <v>50</v>
      </c>
    </row>
    <row r="4" customFormat="false" ht="15" hidden="false" customHeight="false" outlineLevel="0" collapsed="false">
      <c r="A4" s="10"/>
      <c r="B4" s="10"/>
      <c r="C4" s="10"/>
      <c r="D4" s="10"/>
      <c r="E4" s="10"/>
      <c r="F4" s="11" t="str">
        <f aca="false">IF(OR(D4="",E4=""),"",E4-D4)</f>
        <v/>
      </c>
      <c r="G4" s="12" t="str">
        <f aca="false">IF(OR(D4="",D4=0,E4=""),"",(E4-D4)/D4)</f>
        <v/>
      </c>
      <c r="H4" s="10"/>
    </row>
    <row r="5" customFormat="false" ht="15" hidden="false" customHeight="false" outlineLevel="0" collapsed="false">
      <c r="A5" s="10"/>
      <c r="B5" s="10"/>
      <c r="C5" s="10"/>
      <c r="D5" s="10"/>
      <c r="E5" s="10"/>
      <c r="F5" s="11" t="str">
        <f aca="false">IF(OR(D5="",E5=""),"",E5-D5)</f>
        <v/>
      </c>
      <c r="G5" s="12" t="str">
        <f aca="false">IF(OR(D5="",D5=0,E5=""),"",(E5-D5)/D5)</f>
        <v/>
      </c>
      <c r="H5" s="10"/>
    </row>
    <row r="6" customFormat="false" ht="15" hidden="false" customHeight="false" outlineLevel="0" collapsed="false">
      <c r="A6" s="10"/>
      <c r="B6" s="10"/>
      <c r="C6" s="10"/>
      <c r="D6" s="10"/>
      <c r="E6" s="10"/>
      <c r="F6" s="11" t="str">
        <f aca="false">IF(OR(D6="",E6=""),"",E6-D6)</f>
        <v/>
      </c>
      <c r="G6" s="12" t="str">
        <f aca="false">IF(OR(D6="",D6=0,E6=""),"",(E6-D6)/D6)</f>
        <v/>
      </c>
      <c r="H6" s="10"/>
    </row>
    <row r="7" customFormat="false" ht="15" hidden="false" customHeight="false" outlineLevel="0" collapsed="false">
      <c r="A7" s="10"/>
      <c r="B7" s="10"/>
      <c r="C7" s="10"/>
      <c r="D7" s="10"/>
      <c r="E7" s="10"/>
      <c r="F7" s="11" t="str">
        <f aca="false">IF(OR(D7="",E7=""),"",E7-D7)</f>
        <v/>
      </c>
      <c r="G7" s="12" t="str">
        <f aca="false">IF(OR(D7="",D7=0,E7=""),"",(E7-D7)/D7)</f>
        <v/>
      </c>
      <c r="H7" s="10"/>
    </row>
    <row r="8" customFormat="false" ht="15" hidden="false" customHeight="false" outlineLevel="0" collapsed="false">
      <c r="A8" s="10"/>
      <c r="B8" s="10"/>
      <c r="C8" s="10"/>
      <c r="D8" s="10"/>
      <c r="E8" s="10"/>
      <c r="F8" s="11" t="str">
        <f aca="false">IF(OR(D8="",E8=""),"",E8-D8)</f>
        <v/>
      </c>
      <c r="G8" s="12" t="str">
        <f aca="false">IF(OR(D8="",D8=0,E8=""),"",(E8-D8)/D8)</f>
        <v/>
      </c>
      <c r="H8" s="10"/>
    </row>
    <row r="9" customFormat="false" ht="15" hidden="false" customHeight="false" outlineLevel="0" collapsed="false">
      <c r="A9" s="10"/>
      <c r="B9" s="10"/>
      <c r="C9" s="10"/>
      <c r="D9" s="10"/>
      <c r="E9" s="10"/>
      <c r="F9" s="11" t="str">
        <f aca="false">IF(OR(D9="",E9=""),"",E9-D9)</f>
        <v/>
      </c>
      <c r="G9" s="12" t="str">
        <f aca="false">IF(OR(D9="",D9=0,E9=""),"",(E9-D9)/D9)</f>
        <v/>
      </c>
      <c r="H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1" t="str">
        <f aca="false">IF(OR(D10="",E10=""),"",E10-D10)</f>
        <v/>
      </c>
      <c r="G10" s="12" t="str">
        <f aca="false">IF(OR(D10="",D10=0,E10=""),"",(E10-D10)/D10)</f>
        <v/>
      </c>
      <c r="H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1" t="str">
        <f aca="false">IF(OR(D11="",E11=""),"",E11-D11)</f>
        <v/>
      </c>
      <c r="G11" s="12" t="str">
        <f aca="false">IF(OR(D11="",D11=0,E11=""),"",(E11-D11)/D11)</f>
        <v/>
      </c>
      <c r="H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1" t="str">
        <f aca="false">IF(OR(D12="",E12=""),"",E12-D12)</f>
        <v/>
      </c>
      <c r="G12" s="12" t="str">
        <f aca="false">IF(OR(D12="",D12=0,E12=""),"",(E12-D12)/D12)</f>
        <v/>
      </c>
      <c r="H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1" t="str">
        <f aca="false">IF(OR(D13="",E13=""),"",E13-D13)</f>
        <v/>
      </c>
      <c r="G13" s="12" t="str">
        <f aca="false">IF(OR(D13="",D13=0,E13=""),"",(E13-D13)/D13)</f>
        <v/>
      </c>
      <c r="H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1" t="str">
        <f aca="false">IF(OR(D14="",E14=""),"",E14-D14)</f>
        <v/>
      </c>
      <c r="G14" s="12" t="str">
        <f aca="false">IF(OR(D14="",D14=0,E14=""),"",(E14-D14)/D14)</f>
        <v/>
      </c>
      <c r="H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1" t="str">
        <f aca="false">IF(OR(D15="",E15=""),"",E15-D15)</f>
        <v/>
      </c>
      <c r="G15" s="12" t="str">
        <f aca="false">IF(OR(D15="",D15=0,E15=""),"",(E15-D15)/D15)</f>
        <v/>
      </c>
      <c r="H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1" t="str">
        <f aca="false">IF(OR(D16="",E16=""),"",E16-D16)</f>
        <v/>
      </c>
      <c r="G16" s="12" t="str">
        <f aca="false">IF(OR(D16="",D16=0,E16=""),"",(E16-D16)/D16)</f>
        <v/>
      </c>
      <c r="H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1" t="str">
        <f aca="false">IF(OR(D17="",E17=""),"",E17-D17)</f>
        <v/>
      </c>
      <c r="G17" s="12" t="str">
        <f aca="false">IF(OR(D17="",D17=0,E17=""),"",(E17-D17)/D17)</f>
        <v/>
      </c>
      <c r="H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1" t="str">
        <f aca="false">IF(OR(D18="",E18=""),"",E18-D18)</f>
        <v/>
      </c>
      <c r="G18" s="12" t="str">
        <f aca="false">IF(OR(D18="",D18=0,E18=""),"",(E18-D18)/D18)</f>
        <v/>
      </c>
      <c r="H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1" t="str">
        <f aca="false">IF(OR(D19="",E19=""),"",E19-D19)</f>
        <v/>
      </c>
      <c r="G19" s="12" t="str">
        <f aca="false">IF(OR(D19="",D19=0,E19=""),"",(E19-D19)/D19)</f>
        <v/>
      </c>
      <c r="H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1" t="str">
        <f aca="false">IF(OR(D20="",E20=""),"",E20-D20)</f>
        <v/>
      </c>
      <c r="G20" s="12" t="str">
        <f aca="false">IF(OR(D20="",D20=0,E20=""),"",(E20-D20)/D20)</f>
        <v/>
      </c>
      <c r="H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1" t="str">
        <f aca="false">IF(OR(D21="",E21=""),"",E21-D21)</f>
        <v/>
      </c>
      <c r="G21" s="12" t="str">
        <f aca="false">IF(OR(D21="",D21=0,E21=""),"",(E21-D21)/D21)</f>
        <v/>
      </c>
      <c r="H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1" t="str">
        <f aca="false">IF(OR(D22="",E22=""),"",E22-D22)</f>
        <v/>
      </c>
      <c r="G22" s="12" t="str">
        <f aca="false">IF(OR(D22="",D22=0,E22=""),"",(E22-D22)/D22)</f>
        <v/>
      </c>
      <c r="H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1" t="str">
        <f aca="false">IF(OR(D23="",E23=""),"",E23-D23)</f>
        <v/>
      </c>
      <c r="G23" s="12" t="str">
        <f aca="false">IF(OR(D23="",D23=0,E23=""),"",(E23-D23)/D23)</f>
        <v/>
      </c>
      <c r="H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1" t="str">
        <f aca="false">IF(OR(D24="",E24=""),"",E24-D24)</f>
        <v/>
      </c>
      <c r="G24" s="12" t="str">
        <f aca="false">IF(OR(D24="",D24=0,E24=""),"",(E24-D24)/D24)</f>
        <v/>
      </c>
      <c r="H24" s="10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1" t="str">
        <f aca="false">IF(OR(D25="",E25=""),"",E25-D25)</f>
        <v/>
      </c>
      <c r="G25" s="12" t="str">
        <f aca="false">IF(OR(D25="",D25=0,E25=""),"",(E25-D25)/D25)</f>
        <v/>
      </c>
      <c r="H25" s="10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1" t="str">
        <f aca="false">IF(OR(D26="",E26=""),"",E26-D26)</f>
        <v/>
      </c>
      <c r="G26" s="12" t="str">
        <f aca="false">IF(OR(D26="",D26=0,E26=""),"",(E26-D26)/D26)</f>
        <v/>
      </c>
      <c r="H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1" t="str">
        <f aca="false">IF(OR(D27="",E27=""),"",E27-D27)</f>
        <v/>
      </c>
      <c r="G27" s="12" t="str">
        <f aca="false">IF(OR(D27="",D27=0,E27=""),"",(E27-D27)/D27)</f>
        <v/>
      </c>
      <c r="H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1" t="str">
        <f aca="false">IF(OR(D28="",E28=""),"",E28-D28)</f>
        <v/>
      </c>
      <c r="G28" s="12" t="str">
        <f aca="false">IF(OR(D28="",D28=0,E28=""),"",(E28-D28)/D28)</f>
        <v/>
      </c>
      <c r="H28" s="10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1" t="str">
        <f aca="false">IF(OR(D29="",E29=""),"",E29-D29)</f>
        <v/>
      </c>
      <c r="G29" s="12" t="str">
        <f aca="false">IF(OR(D29="",D29=0,E29=""),"",(E29-D29)/D29)</f>
        <v/>
      </c>
      <c r="H29" s="10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1" t="str">
        <f aca="false">IF(OR(D30="",E30=""),"",E30-D30)</f>
        <v/>
      </c>
      <c r="G30" s="12" t="str">
        <f aca="false">IF(OR(D30="",D30=0,E30=""),"",(E30-D30)/D30)</f>
        <v/>
      </c>
      <c r="H30" s="10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1" t="str">
        <f aca="false">IF(OR(D31="",E31=""),"",E31-D31)</f>
        <v/>
      </c>
      <c r="G31" s="12" t="str">
        <f aca="false">IF(OR(D31="",D31=0,E31=""),"",(E31-D31)/D31)</f>
        <v/>
      </c>
      <c r="H31" s="10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1" t="str">
        <f aca="false">IF(OR(D32="",E32=""),"",E32-D32)</f>
        <v/>
      </c>
      <c r="G32" s="12" t="str">
        <f aca="false">IF(OR(D32="",D32=0,E32=""),"",(E32-D32)/D32)</f>
        <v/>
      </c>
      <c r="H32" s="10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1" t="str">
        <f aca="false">IF(OR(D33="",E33=""),"",E33-D33)</f>
        <v/>
      </c>
      <c r="G33" s="12" t="str">
        <f aca="false">IF(OR(D33="",D33=0,E33=""),"",(E33-D33)/D33)</f>
        <v/>
      </c>
      <c r="H33" s="10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1" t="str">
        <f aca="false">IF(OR(D34="",E34=""),"",E34-D34)</f>
        <v/>
      </c>
      <c r="G34" s="12" t="str">
        <f aca="false">IF(OR(D34="",D34=0,E34=""),"",(E34-D34)/D34)</f>
        <v/>
      </c>
      <c r="H34" s="10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1" t="str">
        <f aca="false">IF(OR(D35="",E35=""),"",E35-D35)</f>
        <v/>
      </c>
      <c r="G35" s="12" t="str">
        <f aca="false">IF(OR(D35="",D35=0,E35=""),"",(E35-D35)/D35)</f>
        <v/>
      </c>
      <c r="H35" s="10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1" t="str">
        <f aca="false">IF(OR(D36="",E36=""),"",E36-D36)</f>
        <v/>
      </c>
      <c r="G36" s="12" t="str">
        <f aca="false">IF(OR(D36="",D36=0,E36=""),"",(E36-D36)/D36)</f>
        <v/>
      </c>
      <c r="H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1" t="str">
        <f aca="false">IF(OR(D37="",E37=""),"",E37-D37)</f>
        <v/>
      </c>
      <c r="G37" s="12" t="str">
        <f aca="false">IF(OR(D37="",D37=0,E37=""),"",(E37-D37)/D37)</f>
        <v/>
      </c>
      <c r="H37" s="10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1" t="str">
        <f aca="false">IF(OR(D38="",E38=""),"",E38-D38)</f>
        <v/>
      </c>
      <c r="G38" s="12" t="str">
        <f aca="false">IF(OR(D38="",D38=0,E38=""),"",(E38-D38)/D38)</f>
        <v/>
      </c>
      <c r="H38" s="10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1" t="str">
        <f aca="false">IF(OR(D39="",E39=""),"",E39-D39)</f>
        <v/>
      </c>
      <c r="G39" s="12" t="str">
        <f aca="false">IF(OR(D39="",D39=0,E39=""),"",(E39-D39)/D39)</f>
        <v/>
      </c>
      <c r="H39" s="10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1" t="str">
        <f aca="false">IF(OR(D40="",E40=""),"",E40-D40)</f>
        <v/>
      </c>
      <c r="G40" s="12" t="str">
        <f aca="false">IF(OR(D40="",D40=0,E40=""),"",(E40-D40)/D40)</f>
        <v/>
      </c>
      <c r="H40" s="10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1" t="str">
        <f aca="false">IF(OR(D41="",E41=""),"",E41-D41)</f>
        <v/>
      </c>
      <c r="G41" s="12" t="str">
        <f aca="false">IF(OR(D41="",D41=0,E41=""),"",(E41-D41)/D41)</f>
        <v/>
      </c>
      <c r="H41" s="10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1" t="str">
        <f aca="false">IF(OR(D42="",E42=""),"",E42-D42)</f>
        <v/>
      </c>
      <c r="G42" s="12" t="str">
        <f aca="false">IF(OR(D42="",D42=0,E42=""),"",(E42-D42)/D42)</f>
        <v/>
      </c>
      <c r="H42" s="10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1" t="str">
        <f aca="false">IF(OR(D43="",E43=""),"",E43-D43)</f>
        <v/>
      </c>
      <c r="G43" s="12" t="str">
        <f aca="false">IF(OR(D43="",D43=0,E43=""),"",(E43-D43)/D43)</f>
        <v/>
      </c>
      <c r="H43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2026-10-12T16:33:38Z</dcterms:created>
  <dc:creator>openpyxl</dc:creator>
  <dc:description/>
  <dc:language>en-US</dc:language>
  <cp:lastModifiedBy/>
  <dcterms:modified xsi:type="dcterms:W3CDTF">2026-10-12T16:33:38Z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